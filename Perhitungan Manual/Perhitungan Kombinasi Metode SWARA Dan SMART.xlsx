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YO APLIKASI\2 REF\EXCEL\"/>
    </mc:Choice>
  </mc:AlternateContent>
  <bookViews>
    <workbookView xWindow="0" yWindow="0" windowWidth="20490" windowHeight="7755"/>
  </bookViews>
  <sheets>
    <sheet name="SWARA SM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D38" i="1"/>
  <c r="E38" i="1"/>
  <c r="F38" i="1"/>
  <c r="G38" i="1"/>
  <c r="C37" i="1"/>
  <c r="D37" i="1"/>
  <c r="E37" i="1"/>
  <c r="F37" i="1"/>
  <c r="G37" i="1"/>
  <c r="B38" i="1"/>
  <c r="B37" i="1"/>
  <c r="G28" i="1" l="1"/>
  <c r="F28" i="1"/>
  <c r="E28" i="1"/>
  <c r="D28" i="1"/>
  <c r="C28" i="1"/>
  <c r="B28" i="1"/>
  <c r="G26" i="1"/>
  <c r="F26" i="1"/>
  <c r="E26" i="1"/>
  <c r="D26" i="1"/>
  <c r="C26" i="1"/>
  <c r="B26" i="1"/>
  <c r="D21" i="1"/>
  <c r="E19" i="1" s="1"/>
  <c r="F19" i="1" s="1"/>
  <c r="F15" i="1"/>
  <c r="G15" i="1" s="1"/>
  <c r="B32" i="1" l="1"/>
  <c r="B42" i="1"/>
  <c r="B50" i="1"/>
  <c r="F32" i="1"/>
  <c r="F42" i="1"/>
  <c r="F50" i="1"/>
  <c r="C32" i="1"/>
  <c r="C50" i="1"/>
  <c r="C42" i="1"/>
  <c r="G32" i="1"/>
  <c r="G50" i="1"/>
  <c r="G42" i="1"/>
  <c r="D32" i="1"/>
  <c r="D50" i="1"/>
  <c r="D42" i="1"/>
  <c r="E32" i="1"/>
  <c r="E42" i="1"/>
  <c r="E50" i="1"/>
  <c r="E46" i="1"/>
  <c r="E43" i="1"/>
  <c r="E45" i="1"/>
  <c r="E44" i="1"/>
  <c r="D45" i="1"/>
  <c r="D44" i="1"/>
  <c r="D46" i="1"/>
  <c r="D43" i="1"/>
  <c r="B43" i="1"/>
  <c r="B46" i="1"/>
  <c r="B44" i="1"/>
  <c r="B45" i="1"/>
  <c r="F43" i="1"/>
  <c r="F46" i="1"/>
  <c r="F45" i="1"/>
  <c r="F44" i="1"/>
  <c r="C44" i="1"/>
  <c r="C45" i="1"/>
  <c r="C43" i="1"/>
  <c r="C46" i="1"/>
  <c r="G44" i="1"/>
  <c r="G43" i="1"/>
  <c r="G45" i="1"/>
  <c r="G46" i="1"/>
  <c r="E16" i="1"/>
  <c r="F16" i="1" s="1"/>
  <c r="G16" i="1" s="1"/>
  <c r="E17" i="1"/>
  <c r="F17" i="1" s="1"/>
  <c r="E18" i="1"/>
  <c r="F18" i="1" s="1"/>
  <c r="E20" i="1"/>
  <c r="F20" i="1" s="1"/>
  <c r="G17" i="1" l="1"/>
  <c r="G18" i="1" l="1"/>
  <c r="G19" i="1" l="1"/>
  <c r="G20" i="1" l="1"/>
  <c r="G21" i="1" s="1"/>
  <c r="H15" i="1" l="1"/>
  <c r="C27" i="1" s="1"/>
  <c r="H16" i="1"/>
  <c r="B27" i="1" s="1"/>
  <c r="H17" i="1"/>
  <c r="D27" i="1" s="1"/>
  <c r="H18" i="1"/>
  <c r="E27" i="1" s="1"/>
  <c r="H19" i="1"/>
  <c r="F27" i="1" s="1"/>
  <c r="H20" i="1"/>
  <c r="G27" i="1" s="1"/>
  <c r="E52" i="1" l="1"/>
  <c r="E51" i="1"/>
  <c r="E53" i="1"/>
  <c r="E54" i="1"/>
  <c r="D51" i="1"/>
  <c r="D54" i="1"/>
  <c r="D53" i="1"/>
  <c r="D52" i="1"/>
  <c r="G54" i="1"/>
  <c r="G51" i="1"/>
  <c r="G53" i="1"/>
  <c r="G52" i="1"/>
  <c r="B53" i="1"/>
  <c r="B54" i="1"/>
  <c r="B52" i="1"/>
  <c r="B51" i="1"/>
  <c r="F53" i="1"/>
  <c r="F52" i="1"/>
  <c r="F51" i="1"/>
  <c r="F54" i="1"/>
  <c r="C54" i="1"/>
  <c r="C53" i="1"/>
  <c r="C52" i="1"/>
  <c r="C51" i="1"/>
  <c r="H21" i="1"/>
  <c r="B58" i="1" l="1"/>
  <c r="B59" i="1"/>
  <c r="B61" i="1"/>
  <c r="B60" i="1"/>
</calcChain>
</file>

<file path=xl/sharedStrings.xml><?xml version="1.0" encoding="utf-8"?>
<sst xmlns="http://schemas.openxmlformats.org/spreadsheetml/2006/main" count="93" uniqueCount="48">
  <si>
    <t>Jika membeli product ini maka akan tersedia perhitungan dalam bentuk EXCEL.</t>
  </si>
  <si>
    <t>Kode Kriteria</t>
  </si>
  <si>
    <t>Nama Kriteria</t>
  </si>
  <si>
    <t>Bobot Awal</t>
  </si>
  <si>
    <t>Jenis</t>
  </si>
  <si>
    <t>C1</t>
  </si>
  <si>
    <t>Harga</t>
  </si>
  <si>
    <t>0.2</t>
  </si>
  <si>
    <t>Cost</t>
  </si>
  <si>
    <t>C2</t>
  </si>
  <si>
    <t>Kualitas</t>
  </si>
  <si>
    <t>0.3</t>
  </si>
  <si>
    <t>Benefit</t>
  </si>
  <si>
    <t>C3</t>
  </si>
  <si>
    <t>Fitur</t>
  </si>
  <si>
    <t>C4</t>
  </si>
  <si>
    <t>Populer</t>
  </si>
  <si>
    <t>0.15</t>
  </si>
  <si>
    <t>C5</t>
  </si>
  <si>
    <t>Purna Jual</t>
  </si>
  <si>
    <t>0.1</t>
  </si>
  <si>
    <t>C6</t>
  </si>
  <si>
    <t>Keawetan</t>
  </si>
  <si>
    <t>0.05</t>
  </si>
  <si>
    <t>Rank Awal</t>
  </si>
  <si>
    <t>Sj</t>
  </si>
  <si>
    <t>Kj</t>
  </si>
  <si>
    <t>Qi</t>
  </si>
  <si>
    <t>Wi</t>
  </si>
  <si>
    <t>Rata-rata rank awal</t>
  </si>
  <si>
    <t>PEMBOBOTAN METODE SWARA</t>
  </si>
  <si>
    <t>Data Kriteria</t>
  </si>
  <si>
    <t>Bobot</t>
  </si>
  <si>
    <t>Matriks Keputusan (X)</t>
  </si>
  <si>
    <t>Galaxy</t>
  </si>
  <si>
    <t>Iphone</t>
  </si>
  <si>
    <t>BB</t>
  </si>
  <si>
    <t>Lumia</t>
  </si>
  <si>
    <t>Kriteria</t>
  </si>
  <si>
    <t>Nama Alternatif</t>
  </si>
  <si>
    <t>Ranking</t>
  </si>
  <si>
    <t>Nilai</t>
  </si>
  <si>
    <t>Rank</t>
  </si>
  <si>
    <t>PERHITUNGAN METODE SMART</t>
  </si>
  <si>
    <t>MIN</t>
  </si>
  <si>
    <t>MAX</t>
  </si>
  <si>
    <t>Nilai Utility (U)</t>
  </si>
  <si>
    <t>Menghitung Nilai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</si>
</sst>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51" zoomScale="90" zoomScaleNormal="90" workbookViewId="0">
      <selection activeCell="K14" sqref="K14"/>
    </sheetView>
  </sheetViews>
  <sheetFormatPr defaultRowHeight="15" x14ac:dyDescent="0.25"/>
  <cols>
    <col min="1" max="8" width="16.7109375" style="9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35.1" customHeight="1" x14ac:dyDescent="0.25">
      <c r="A2" s="22" t="s">
        <v>0</v>
      </c>
      <c r="B2" s="22"/>
      <c r="C2" s="22"/>
      <c r="D2" s="22"/>
      <c r="E2" s="22"/>
      <c r="F2" s="22"/>
      <c r="G2" s="22"/>
      <c r="H2" s="22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15.75" x14ac:dyDescent="0.25">
      <c r="A4" s="27" t="s">
        <v>30</v>
      </c>
      <c r="B4" s="27"/>
      <c r="C4" s="27"/>
      <c r="D4" s="27"/>
      <c r="E4" s="27"/>
      <c r="F4" s="27"/>
      <c r="G4" s="27"/>
      <c r="H4" s="27"/>
    </row>
    <row r="5" spans="1:8" x14ac:dyDescent="0.25">
      <c r="A5" s="2"/>
      <c r="B5" s="2"/>
      <c r="C5" s="2"/>
      <c r="D5" s="2"/>
      <c r="E5" s="2"/>
      <c r="F5" s="2"/>
      <c r="G5" s="2"/>
      <c r="H5" s="3"/>
    </row>
    <row r="6" spans="1:8" x14ac:dyDescent="0.25">
      <c r="A6" s="4" t="s">
        <v>1</v>
      </c>
      <c r="B6" s="4" t="s">
        <v>2</v>
      </c>
      <c r="C6" s="4" t="s">
        <v>3</v>
      </c>
      <c r="D6" s="4" t="s">
        <v>4</v>
      </c>
      <c r="E6" s="5"/>
      <c r="F6" s="5"/>
      <c r="G6" s="6"/>
      <c r="H6" s="3"/>
    </row>
    <row r="7" spans="1:8" x14ac:dyDescent="0.25">
      <c r="A7" s="7" t="s">
        <v>5</v>
      </c>
      <c r="B7" s="7" t="s">
        <v>6</v>
      </c>
      <c r="C7" s="7" t="s">
        <v>7</v>
      </c>
      <c r="D7" s="7" t="s">
        <v>8</v>
      </c>
      <c r="E7" s="5"/>
      <c r="F7" s="5"/>
      <c r="G7" s="6"/>
      <c r="H7" s="3"/>
    </row>
    <row r="8" spans="1:8" x14ac:dyDescent="0.25">
      <c r="A8" s="7" t="s">
        <v>9</v>
      </c>
      <c r="B8" s="7" t="s">
        <v>10</v>
      </c>
      <c r="C8" s="7" t="s">
        <v>11</v>
      </c>
      <c r="D8" s="7" t="s">
        <v>12</v>
      </c>
      <c r="E8" s="5"/>
      <c r="F8" s="5"/>
      <c r="G8" s="6"/>
      <c r="H8" s="3"/>
    </row>
    <row r="9" spans="1:8" x14ac:dyDescent="0.25">
      <c r="A9" s="7" t="s">
        <v>13</v>
      </c>
      <c r="B9" s="7" t="s">
        <v>14</v>
      </c>
      <c r="C9" s="7" t="s">
        <v>7</v>
      </c>
      <c r="D9" s="7" t="s">
        <v>12</v>
      </c>
      <c r="E9" s="5"/>
      <c r="F9" s="5"/>
      <c r="G9" s="6"/>
      <c r="H9" s="3"/>
    </row>
    <row r="10" spans="1:8" x14ac:dyDescent="0.25">
      <c r="A10" s="7" t="s">
        <v>15</v>
      </c>
      <c r="B10" s="7" t="s">
        <v>16</v>
      </c>
      <c r="C10" s="7" t="s">
        <v>17</v>
      </c>
      <c r="D10" s="7" t="s">
        <v>12</v>
      </c>
      <c r="E10" s="5"/>
      <c r="F10" s="5"/>
      <c r="G10" s="6"/>
      <c r="H10" s="3"/>
    </row>
    <row r="11" spans="1:8" x14ac:dyDescent="0.25">
      <c r="A11" s="7" t="s">
        <v>18</v>
      </c>
      <c r="B11" s="7" t="s">
        <v>19</v>
      </c>
      <c r="C11" s="7" t="s">
        <v>20</v>
      </c>
      <c r="D11" s="7" t="s">
        <v>12</v>
      </c>
      <c r="E11" s="5"/>
      <c r="F11" s="5"/>
      <c r="G11" s="6"/>
      <c r="H11" s="3"/>
    </row>
    <row r="12" spans="1:8" x14ac:dyDescent="0.25">
      <c r="A12" s="7" t="s">
        <v>21</v>
      </c>
      <c r="B12" s="7" t="s">
        <v>22</v>
      </c>
      <c r="C12" s="7" t="s">
        <v>23</v>
      </c>
      <c r="D12" s="7" t="s">
        <v>12</v>
      </c>
      <c r="E12" s="5"/>
      <c r="F12" s="5"/>
      <c r="G12" s="6"/>
      <c r="H12" s="3"/>
    </row>
    <row r="13" spans="1:8" x14ac:dyDescent="0.25">
      <c r="A13" s="6"/>
      <c r="B13" s="6"/>
      <c r="C13" s="6"/>
      <c r="D13" s="6"/>
      <c r="E13" s="5"/>
      <c r="F13" s="5"/>
      <c r="G13" s="6"/>
      <c r="H13" s="3"/>
    </row>
    <row r="14" spans="1:8" x14ac:dyDescent="0.25">
      <c r="A14" s="4" t="s">
        <v>1</v>
      </c>
      <c r="B14" s="4" t="s">
        <v>2</v>
      </c>
      <c r="C14" s="4" t="s">
        <v>3</v>
      </c>
      <c r="D14" s="4" t="s">
        <v>24</v>
      </c>
      <c r="E14" s="4" t="s">
        <v>25</v>
      </c>
      <c r="F14" s="4" t="s">
        <v>26</v>
      </c>
      <c r="G14" s="4" t="s">
        <v>27</v>
      </c>
      <c r="H14" s="4" t="s">
        <v>28</v>
      </c>
    </row>
    <row r="15" spans="1:8" x14ac:dyDescent="0.25">
      <c r="A15" s="7" t="s">
        <v>9</v>
      </c>
      <c r="B15" s="7" t="s">
        <v>10</v>
      </c>
      <c r="C15" s="7" t="s">
        <v>11</v>
      </c>
      <c r="D15" s="7">
        <v>1</v>
      </c>
      <c r="E15" s="7">
        <v>0</v>
      </c>
      <c r="F15" s="7">
        <f>E15+1</f>
        <v>1</v>
      </c>
      <c r="G15" s="7">
        <f>F15/F15</f>
        <v>1</v>
      </c>
      <c r="H15" s="7">
        <f>G15/G21</f>
        <v>0.36834821608953899</v>
      </c>
    </row>
    <row r="16" spans="1:8" x14ac:dyDescent="0.25">
      <c r="A16" s="7" t="s">
        <v>5</v>
      </c>
      <c r="B16" s="7" t="s">
        <v>6</v>
      </c>
      <c r="C16" s="7" t="s">
        <v>7</v>
      </c>
      <c r="D16" s="7">
        <v>2</v>
      </c>
      <c r="E16" s="7">
        <f>D15/D21</f>
        <v>0.2857142857142857</v>
      </c>
      <c r="F16" s="7">
        <f t="shared" ref="F16:F20" si="0">E16+1</f>
        <v>1.2857142857142856</v>
      </c>
      <c r="G16" s="7">
        <f>G15/F16</f>
        <v>0.7777777777777779</v>
      </c>
      <c r="H16" s="7">
        <f>G16/G21</f>
        <v>0.28649305695853039</v>
      </c>
    </row>
    <row r="17" spans="1:8" x14ac:dyDescent="0.25">
      <c r="A17" s="7" t="s">
        <v>13</v>
      </c>
      <c r="B17" s="7" t="s">
        <v>14</v>
      </c>
      <c r="C17" s="7" t="s">
        <v>7</v>
      </c>
      <c r="D17" s="7">
        <v>3</v>
      </c>
      <c r="E17" s="7">
        <f>D16/D21</f>
        <v>0.5714285714285714</v>
      </c>
      <c r="F17" s="7">
        <f t="shared" si="0"/>
        <v>1.5714285714285714</v>
      </c>
      <c r="G17" s="7">
        <f>G16/F17</f>
        <v>0.49494949494949503</v>
      </c>
      <c r="H17" s="7">
        <f>G17/G21</f>
        <v>0.18231376351906478</v>
      </c>
    </row>
    <row r="18" spans="1:8" x14ac:dyDescent="0.25">
      <c r="A18" s="7" t="s">
        <v>15</v>
      </c>
      <c r="B18" s="7" t="s">
        <v>16</v>
      </c>
      <c r="C18" s="7" t="s">
        <v>17</v>
      </c>
      <c r="D18" s="7">
        <v>4</v>
      </c>
      <c r="E18" s="7">
        <f>D17/D21</f>
        <v>0.8571428571428571</v>
      </c>
      <c r="F18" s="7">
        <f t="shared" si="0"/>
        <v>1.8571428571428572</v>
      </c>
      <c r="G18" s="7">
        <f>G17/F18</f>
        <v>0.26651126651126655</v>
      </c>
      <c r="H18" s="7">
        <f>G18/G21</f>
        <v>9.8168949587188734E-2</v>
      </c>
    </row>
    <row r="19" spans="1:8" x14ac:dyDescent="0.25">
      <c r="A19" s="7" t="s">
        <v>18</v>
      </c>
      <c r="B19" s="7" t="s">
        <v>19</v>
      </c>
      <c r="C19" s="7" t="s">
        <v>20</v>
      </c>
      <c r="D19" s="7">
        <v>5</v>
      </c>
      <c r="E19" s="7">
        <f>D18/D21</f>
        <v>1.1428571428571428</v>
      </c>
      <c r="F19" s="7">
        <f t="shared" si="0"/>
        <v>2.1428571428571428</v>
      </c>
      <c r="G19" s="7">
        <f>G18/F19</f>
        <v>0.12437192437192439</v>
      </c>
      <c r="H19" s="7">
        <f>G19/G21</f>
        <v>4.5812176474021409E-2</v>
      </c>
    </row>
    <row r="20" spans="1:8" x14ac:dyDescent="0.25">
      <c r="A20" s="7" t="s">
        <v>21</v>
      </c>
      <c r="B20" s="7" t="s">
        <v>22</v>
      </c>
      <c r="C20" s="7" t="s">
        <v>23</v>
      </c>
      <c r="D20" s="7">
        <v>6</v>
      </c>
      <c r="E20" s="7">
        <f>D19/D21</f>
        <v>1.4285714285714286</v>
      </c>
      <c r="F20" s="7">
        <f t="shared" si="0"/>
        <v>2.4285714285714288</v>
      </c>
      <c r="G20" s="7">
        <f>G19/F20</f>
        <v>5.1211968859027686E-2</v>
      </c>
      <c r="H20" s="7">
        <f>G20/G21</f>
        <v>1.8863837371655871E-2</v>
      </c>
    </row>
    <row r="21" spans="1:8" x14ac:dyDescent="0.25">
      <c r="A21" s="23" t="s">
        <v>29</v>
      </c>
      <c r="B21" s="24"/>
      <c r="C21" s="25"/>
      <c r="D21" s="4">
        <f>AVERAGE(D15:D20)</f>
        <v>3.5</v>
      </c>
      <c r="E21" s="4"/>
      <c r="F21" s="4"/>
      <c r="G21" s="8">
        <f>SUM(G15:G20)</f>
        <v>2.7148224324694912</v>
      </c>
      <c r="H21" s="4">
        <f>SUM(H15:H20)</f>
        <v>1.0000000000000002</v>
      </c>
    </row>
    <row r="23" spans="1:8" ht="15.75" x14ac:dyDescent="0.25">
      <c r="A23" s="28" t="s">
        <v>43</v>
      </c>
      <c r="B23" s="28"/>
      <c r="C23" s="28"/>
      <c r="D23" s="28"/>
      <c r="E23" s="28"/>
      <c r="F23" s="28"/>
      <c r="G23" s="28"/>
      <c r="H23" s="28"/>
    </row>
    <row r="25" spans="1:8" x14ac:dyDescent="0.25">
      <c r="A25" s="16" t="s">
        <v>31</v>
      </c>
      <c r="B25" s="16"/>
      <c r="C25" s="16"/>
      <c r="D25" s="16"/>
      <c r="E25" s="16"/>
      <c r="F25" s="16"/>
      <c r="G25" s="16"/>
    </row>
    <row r="26" spans="1:8" x14ac:dyDescent="0.25">
      <c r="A26" s="12" t="s">
        <v>2</v>
      </c>
      <c r="B26" s="11" t="str">
        <f>B7</f>
        <v>Harga</v>
      </c>
      <c r="C26" s="11" t="str">
        <f>B8</f>
        <v>Kualitas</v>
      </c>
      <c r="D26" s="11" t="str">
        <f>B9</f>
        <v>Fitur</v>
      </c>
      <c r="E26" s="11" t="str">
        <f>B10</f>
        <v>Populer</v>
      </c>
      <c r="F26" s="11" t="str">
        <f>B11</f>
        <v>Purna Jual</v>
      </c>
      <c r="G26" s="11" t="str">
        <f>B12</f>
        <v>Keawetan</v>
      </c>
    </row>
    <row r="27" spans="1:8" x14ac:dyDescent="0.25">
      <c r="A27" s="12" t="s">
        <v>32</v>
      </c>
      <c r="B27" s="11">
        <f>H16</f>
        <v>0.28649305695853039</v>
      </c>
      <c r="C27" s="11">
        <f>H15</f>
        <v>0.36834821608953899</v>
      </c>
      <c r="D27" s="11">
        <f>H17</f>
        <v>0.18231376351906478</v>
      </c>
      <c r="E27" s="11">
        <f>H18</f>
        <v>9.8168949587188734E-2</v>
      </c>
      <c r="F27" s="11">
        <f>H19</f>
        <v>4.5812176474021409E-2</v>
      </c>
      <c r="G27" s="11">
        <f>H20</f>
        <v>1.8863837371655871E-2</v>
      </c>
    </row>
    <row r="28" spans="1:8" x14ac:dyDescent="0.25">
      <c r="A28" s="12" t="s">
        <v>4</v>
      </c>
      <c r="B28" s="11" t="str">
        <f>D7</f>
        <v>Cost</v>
      </c>
      <c r="C28" s="11" t="str">
        <f>D8</f>
        <v>Benefit</v>
      </c>
      <c r="D28" s="11" t="str">
        <f>D9</f>
        <v>Benefit</v>
      </c>
      <c r="E28" s="11" t="str">
        <f>D10</f>
        <v>Benefit</v>
      </c>
      <c r="F28" s="11" t="str">
        <f>D11</f>
        <v>Benefit</v>
      </c>
      <c r="G28" s="11" t="str">
        <f>D12</f>
        <v>Benefit</v>
      </c>
    </row>
    <row r="30" spans="1:8" x14ac:dyDescent="0.25">
      <c r="A30" s="15" t="s">
        <v>33</v>
      </c>
      <c r="B30" s="15"/>
      <c r="C30" s="15"/>
      <c r="D30" s="15"/>
      <c r="E30" s="15"/>
      <c r="F30" s="15"/>
      <c r="G30" s="15"/>
    </row>
    <row r="31" spans="1:8" x14ac:dyDescent="0.25">
      <c r="A31" s="17" t="s">
        <v>39</v>
      </c>
      <c r="B31" s="19" t="s">
        <v>38</v>
      </c>
      <c r="C31" s="20"/>
      <c r="D31" s="20"/>
      <c r="E31" s="20"/>
      <c r="F31" s="20"/>
      <c r="G31" s="21"/>
    </row>
    <row r="32" spans="1:8" x14ac:dyDescent="0.25">
      <c r="A32" s="18"/>
      <c r="B32" s="13" t="str">
        <f>B26</f>
        <v>Harga</v>
      </c>
      <c r="C32" s="13" t="str">
        <f t="shared" ref="C32:G32" si="1">C26</f>
        <v>Kualitas</v>
      </c>
      <c r="D32" s="13" t="str">
        <f t="shared" si="1"/>
        <v>Fitur</v>
      </c>
      <c r="E32" s="13" t="str">
        <f t="shared" si="1"/>
        <v>Populer</v>
      </c>
      <c r="F32" s="13" t="str">
        <f t="shared" si="1"/>
        <v>Purna Jual</v>
      </c>
      <c r="G32" s="13" t="str">
        <f t="shared" si="1"/>
        <v>Keawetan</v>
      </c>
    </row>
    <row r="33" spans="1:7" customFormat="1" x14ac:dyDescent="0.25">
      <c r="A33" s="10" t="s">
        <v>34</v>
      </c>
      <c r="B33" s="10">
        <v>3</v>
      </c>
      <c r="C33" s="10">
        <v>3</v>
      </c>
      <c r="D33" s="10">
        <v>5</v>
      </c>
      <c r="E33" s="10">
        <v>4</v>
      </c>
      <c r="F33" s="10">
        <v>5</v>
      </c>
      <c r="G33" s="10">
        <v>3</v>
      </c>
    </row>
    <row r="34" spans="1:7" customFormat="1" x14ac:dyDescent="0.25">
      <c r="A34" s="10" t="s">
        <v>35</v>
      </c>
      <c r="B34" s="10">
        <v>5</v>
      </c>
      <c r="C34" s="10">
        <v>5</v>
      </c>
      <c r="D34" s="10">
        <v>5</v>
      </c>
      <c r="E34" s="10">
        <v>3</v>
      </c>
      <c r="F34" s="10">
        <v>4</v>
      </c>
      <c r="G34" s="10">
        <v>4</v>
      </c>
    </row>
    <row r="35" spans="1:7" customFormat="1" x14ac:dyDescent="0.25">
      <c r="A35" s="10" t="s">
        <v>36</v>
      </c>
      <c r="B35" s="10">
        <v>4</v>
      </c>
      <c r="C35" s="10">
        <v>4</v>
      </c>
      <c r="D35" s="10">
        <v>4</v>
      </c>
      <c r="E35" s="10">
        <v>5</v>
      </c>
      <c r="F35" s="10">
        <v>3</v>
      </c>
      <c r="G35" s="10">
        <v>4</v>
      </c>
    </row>
    <row r="36" spans="1:7" customFormat="1" x14ac:dyDescent="0.25">
      <c r="A36" s="10" t="s">
        <v>37</v>
      </c>
      <c r="B36" s="10">
        <v>4</v>
      </c>
      <c r="C36" s="10">
        <v>3</v>
      </c>
      <c r="D36" s="10">
        <v>3</v>
      </c>
      <c r="E36" s="10">
        <v>2</v>
      </c>
      <c r="F36" s="10">
        <v>2</v>
      </c>
      <c r="G36" s="10">
        <v>5</v>
      </c>
    </row>
    <row r="37" spans="1:7" customFormat="1" x14ac:dyDescent="0.25">
      <c r="A37" s="13" t="s">
        <v>44</v>
      </c>
      <c r="B37" s="13">
        <f>MIN(B33:B36)</f>
        <v>3</v>
      </c>
      <c r="C37" s="13">
        <f t="shared" ref="C37:G37" si="2">MIN(C33:C36)</f>
        <v>3</v>
      </c>
      <c r="D37" s="13">
        <f t="shared" si="2"/>
        <v>3</v>
      </c>
      <c r="E37" s="13">
        <f t="shared" si="2"/>
        <v>2</v>
      </c>
      <c r="F37" s="13">
        <f t="shared" si="2"/>
        <v>2</v>
      </c>
      <c r="G37" s="13">
        <f t="shared" si="2"/>
        <v>3</v>
      </c>
    </row>
    <row r="38" spans="1:7" customFormat="1" x14ac:dyDescent="0.25">
      <c r="A38" s="13" t="s">
        <v>45</v>
      </c>
      <c r="B38" s="13">
        <f>MAX(B33:B36)</f>
        <v>5</v>
      </c>
      <c r="C38" s="13">
        <f t="shared" ref="C38:G38" si="3">MAX(C33:C36)</f>
        <v>5</v>
      </c>
      <c r="D38" s="13">
        <f t="shared" si="3"/>
        <v>5</v>
      </c>
      <c r="E38" s="13">
        <f t="shared" si="3"/>
        <v>5</v>
      </c>
      <c r="F38" s="13">
        <f t="shared" si="3"/>
        <v>5</v>
      </c>
      <c r="G38" s="13">
        <f t="shared" si="3"/>
        <v>5</v>
      </c>
    </row>
    <row r="40" spans="1:7" customFormat="1" x14ac:dyDescent="0.25">
      <c r="A40" s="14" t="s">
        <v>46</v>
      </c>
      <c r="B40" s="14"/>
      <c r="C40" s="14"/>
      <c r="D40" s="14"/>
      <c r="E40" s="14"/>
      <c r="F40" s="14"/>
      <c r="G40" s="14"/>
    </row>
    <row r="41" spans="1:7" customFormat="1" x14ac:dyDescent="0.25">
      <c r="A41" s="17" t="s">
        <v>39</v>
      </c>
      <c r="B41" s="19" t="s">
        <v>38</v>
      </c>
      <c r="C41" s="20"/>
      <c r="D41" s="20"/>
      <c r="E41" s="20"/>
      <c r="F41" s="20"/>
      <c r="G41" s="21"/>
    </row>
    <row r="42" spans="1:7" customFormat="1" x14ac:dyDescent="0.25">
      <c r="A42" s="18"/>
      <c r="B42" s="13" t="str">
        <f>B26</f>
        <v>Harga</v>
      </c>
      <c r="C42" s="13" t="str">
        <f t="shared" ref="C42:G42" si="4">C26</f>
        <v>Kualitas</v>
      </c>
      <c r="D42" s="13" t="str">
        <f t="shared" si="4"/>
        <v>Fitur</v>
      </c>
      <c r="E42" s="13" t="str">
        <f t="shared" si="4"/>
        <v>Populer</v>
      </c>
      <c r="F42" s="13" t="str">
        <f t="shared" si="4"/>
        <v>Purna Jual</v>
      </c>
      <c r="G42" s="13" t="str">
        <f t="shared" si="4"/>
        <v>Keawetan</v>
      </c>
    </row>
    <row r="43" spans="1:7" customFormat="1" x14ac:dyDescent="0.25">
      <c r="A43" s="10" t="s">
        <v>34</v>
      </c>
      <c r="B43" s="10">
        <f>IF(B28="Cost",(B38-B33)/(B38-B37),(B33-B37)/(B38-B37))</f>
        <v>1</v>
      </c>
      <c r="C43" s="10">
        <f t="shared" ref="C43:G43" si="5">IF(C28="Cost",(C38-C33)/(C38-C37),(C33-C37)/(C38-C37))</f>
        <v>0</v>
      </c>
      <c r="D43" s="10">
        <f t="shared" si="5"/>
        <v>1</v>
      </c>
      <c r="E43" s="10">
        <f t="shared" si="5"/>
        <v>0.66666666666666663</v>
      </c>
      <c r="F43" s="10">
        <f t="shared" si="5"/>
        <v>1</v>
      </c>
      <c r="G43" s="10">
        <f t="shared" si="5"/>
        <v>0</v>
      </c>
    </row>
    <row r="44" spans="1:7" customFormat="1" x14ac:dyDescent="0.25">
      <c r="A44" s="10" t="s">
        <v>35</v>
      </c>
      <c r="B44" s="10">
        <f>IF(B28="Cost",(B38-B34)/(B38-B37),(B34-B37)/(B38-B37))</f>
        <v>0</v>
      </c>
      <c r="C44" s="10">
        <f t="shared" ref="C44:G44" si="6">IF(C28="Cost",(C38-C34)/(C38-C37),(C34-C37)/(C38-C37))</f>
        <v>1</v>
      </c>
      <c r="D44" s="10">
        <f t="shared" si="6"/>
        <v>1</v>
      </c>
      <c r="E44" s="10">
        <f t="shared" si="6"/>
        <v>0.33333333333333331</v>
      </c>
      <c r="F44" s="10">
        <f t="shared" si="6"/>
        <v>0.66666666666666663</v>
      </c>
      <c r="G44" s="10">
        <f t="shared" si="6"/>
        <v>0.5</v>
      </c>
    </row>
    <row r="45" spans="1:7" customFormat="1" x14ac:dyDescent="0.25">
      <c r="A45" s="10" t="s">
        <v>36</v>
      </c>
      <c r="B45" s="10">
        <f>IF(B28="Cost",(B38-B35)/(B38-B37),(B35-B37)/(B38-B37))</f>
        <v>0.5</v>
      </c>
      <c r="C45" s="10">
        <f t="shared" ref="C45:G45" si="7">IF(C28="Cost",(C38-C35)/(C38-C37),(C35-C37)/(C38-C37))</f>
        <v>0.5</v>
      </c>
      <c r="D45" s="10">
        <f t="shared" si="7"/>
        <v>0.5</v>
      </c>
      <c r="E45" s="10">
        <f t="shared" si="7"/>
        <v>1</v>
      </c>
      <c r="F45" s="10">
        <f t="shared" si="7"/>
        <v>0.33333333333333331</v>
      </c>
      <c r="G45" s="10">
        <f t="shared" si="7"/>
        <v>0.5</v>
      </c>
    </row>
    <row r="46" spans="1:7" customFormat="1" x14ac:dyDescent="0.25">
      <c r="A46" s="10" t="s">
        <v>37</v>
      </c>
      <c r="B46" s="10">
        <f>IF(B28="Cost",(B38-B36)/(B38-B37),(B36-B37)/(B38-B37))</f>
        <v>0.5</v>
      </c>
      <c r="C46" s="10">
        <f t="shared" ref="C46:G46" si="8">IF(C28="Cost",(C38-C36)/(C38-C37),(C36-C37)/(C38-C37))</f>
        <v>0</v>
      </c>
      <c r="D46" s="10">
        <f t="shared" si="8"/>
        <v>0</v>
      </c>
      <c r="E46" s="10">
        <f t="shared" si="8"/>
        <v>0</v>
      </c>
      <c r="F46" s="10">
        <f t="shared" si="8"/>
        <v>0</v>
      </c>
      <c r="G46" s="10">
        <f t="shared" si="8"/>
        <v>1</v>
      </c>
    </row>
    <row r="47" spans="1:7" customFormat="1" x14ac:dyDescent="0.25">
      <c r="A47" s="26"/>
      <c r="B47" s="26"/>
      <c r="C47" s="26"/>
      <c r="D47" s="26"/>
      <c r="E47" s="26"/>
      <c r="F47" s="26"/>
      <c r="G47" s="26"/>
    </row>
    <row r="48" spans="1:7" customFormat="1" x14ac:dyDescent="0.25">
      <c r="A48" s="16" t="s">
        <v>47</v>
      </c>
      <c r="B48" s="16"/>
      <c r="C48" s="16"/>
      <c r="D48" s="16"/>
      <c r="E48" s="16"/>
      <c r="F48" s="16"/>
      <c r="G48" s="16"/>
    </row>
    <row r="49" spans="1:7" customFormat="1" x14ac:dyDescent="0.25">
      <c r="A49" s="17" t="s">
        <v>39</v>
      </c>
      <c r="B49" s="19" t="s">
        <v>38</v>
      </c>
      <c r="C49" s="20"/>
      <c r="D49" s="20"/>
      <c r="E49" s="20"/>
      <c r="F49" s="20"/>
      <c r="G49" s="21"/>
    </row>
    <row r="50" spans="1:7" customFormat="1" x14ac:dyDescent="0.25">
      <c r="A50" s="18"/>
      <c r="B50" s="13" t="str">
        <f>B26</f>
        <v>Harga</v>
      </c>
      <c r="C50" s="13" t="str">
        <f t="shared" ref="C50:G50" si="9">C26</f>
        <v>Kualitas</v>
      </c>
      <c r="D50" s="13" t="str">
        <f t="shared" si="9"/>
        <v>Fitur</v>
      </c>
      <c r="E50" s="13" t="str">
        <f t="shared" si="9"/>
        <v>Populer</v>
      </c>
      <c r="F50" s="13" t="str">
        <f t="shared" si="9"/>
        <v>Purna Jual</v>
      </c>
      <c r="G50" s="13" t="str">
        <f t="shared" si="9"/>
        <v>Keawetan</v>
      </c>
    </row>
    <row r="51" spans="1:7" customFormat="1" x14ac:dyDescent="0.25">
      <c r="A51" s="10" t="s">
        <v>34</v>
      </c>
      <c r="B51" s="10">
        <f>B27*B43</f>
        <v>0.28649305695853039</v>
      </c>
      <c r="C51" s="10">
        <f t="shared" ref="C51:G51" si="10">C27*C43</f>
        <v>0</v>
      </c>
      <c r="D51" s="10">
        <f t="shared" si="10"/>
        <v>0.18231376351906478</v>
      </c>
      <c r="E51" s="10">
        <f t="shared" si="10"/>
        <v>6.5445966391459151E-2</v>
      </c>
      <c r="F51" s="10">
        <f t="shared" si="10"/>
        <v>4.5812176474021409E-2</v>
      </c>
      <c r="G51" s="10">
        <f t="shared" si="10"/>
        <v>0</v>
      </c>
    </row>
    <row r="52" spans="1:7" customFormat="1" x14ac:dyDescent="0.25">
      <c r="A52" s="10" t="s">
        <v>35</v>
      </c>
      <c r="B52" s="10">
        <f>B27*B44</f>
        <v>0</v>
      </c>
      <c r="C52" s="10">
        <f t="shared" ref="C52:G52" si="11">C27*C44</f>
        <v>0.36834821608953899</v>
      </c>
      <c r="D52" s="10">
        <f t="shared" si="11"/>
        <v>0.18231376351906478</v>
      </c>
      <c r="E52" s="10">
        <f t="shared" si="11"/>
        <v>3.2722983195729576E-2</v>
      </c>
      <c r="F52" s="10">
        <f t="shared" si="11"/>
        <v>3.0541450982680938E-2</v>
      </c>
      <c r="G52" s="10">
        <f t="shared" si="11"/>
        <v>9.4319186858279353E-3</v>
      </c>
    </row>
    <row r="53" spans="1:7" customFormat="1" x14ac:dyDescent="0.25">
      <c r="A53" s="10" t="s">
        <v>36</v>
      </c>
      <c r="B53" s="10">
        <f>B27*B45</f>
        <v>0.14324652847926519</v>
      </c>
      <c r="C53" s="10">
        <f t="shared" ref="C53:G53" si="12">C27*C45</f>
        <v>0.1841741080447695</v>
      </c>
      <c r="D53" s="10">
        <f t="shared" si="12"/>
        <v>9.115688175953239E-2</v>
      </c>
      <c r="E53" s="10">
        <f t="shared" si="12"/>
        <v>9.8168949587188734E-2</v>
      </c>
      <c r="F53" s="10">
        <f t="shared" si="12"/>
        <v>1.5270725491340469E-2</v>
      </c>
      <c r="G53" s="10">
        <f t="shared" si="12"/>
        <v>9.4319186858279353E-3</v>
      </c>
    </row>
    <row r="54" spans="1:7" customFormat="1" x14ac:dyDescent="0.25">
      <c r="A54" s="10" t="s">
        <v>37</v>
      </c>
      <c r="B54" s="10">
        <f>B27*B46</f>
        <v>0.14324652847926519</v>
      </c>
      <c r="C54" s="10">
        <f t="shared" ref="C54:G54" si="13">C27*C46</f>
        <v>0</v>
      </c>
      <c r="D54" s="10">
        <f t="shared" si="13"/>
        <v>0</v>
      </c>
      <c r="E54" s="10">
        <f t="shared" si="13"/>
        <v>0</v>
      </c>
      <c r="F54" s="10">
        <f t="shared" si="13"/>
        <v>0</v>
      </c>
      <c r="G54" s="10">
        <f t="shared" si="13"/>
        <v>1.8863837371655871E-2</v>
      </c>
    </row>
    <row r="56" spans="1:7" customFormat="1" x14ac:dyDescent="0.25">
      <c r="A56" s="14" t="s">
        <v>40</v>
      </c>
      <c r="B56" s="14"/>
      <c r="C56" s="14"/>
      <c r="D56" s="9"/>
      <c r="E56" s="9"/>
      <c r="F56" s="9"/>
      <c r="G56" s="9"/>
    </row>
    <row r="57" spans="1:7" customFormat="1" x14ac:dyDescent="0.25">
      <c r="A57" s="12" t="s">
        <v>39</v>
      </c>
      <c r="B57" s="12" t="s">
        <v>41</v>
      </c>
      <c r="C57" s="12" t="s">
        <v>42</v>
      </c>
      <c r="D57" s="9"/>
      <c r="E57" s="9"/>
      <c r="F57" s="9"/>
      <c r="G57" s="9"/>
    </row>
    <row r="58" spans="1:7" customFormat="1" x14ac:dyDescent="0.25">
      <c r="A58" s="11" t="s">
        <v>34</v>
      </c>
      <c r="B58" s="11">
        <f>SUM(B51:G51)</f>
        <v>0.58006496334307567</v>
      </c>
      <c r="C58" s="11">
        <v>2</v>
      </c>
      <c r="D58" s="9"/>
      <c r="E58" s="9"/>
      <c r="F58" s="9"/>
      <c r="G58" s="9"/>
    </row>
    <row r="59" spans="1:7" customFormat="1" x14ac:dyDescent="0.25">
      <c r="A59" s="11" t="s">
        <v>35</v>
      </c>
      <c r="B59" s="11">
        <f t="shared" ref="B59:B61" si="14">SUM(B52:G52)</f>
        <v>0.62335833247284211</v>
      </c>
      <c r="C59" s="11">
        <v>1</v>
      </c>
      <c r="D59" s="9"/>
      <c r="E59" s="9"/>
      <c r="F59" s="9"/>
      <c r="G59" s="9"/>
    </row>
    <row r="60" spans="1:7" customFormat="1" x14ac:dyDescent="0.25">
      <c r="A60" s="11" t="s">
        <v>36</v>
      </c>
      <c r="B60" s="11">
        <f t="shared" si="14"/>
        <v>0.54144911204792423</v>
      </c>
      <c r="C60" s="11">
        <v>3</v>
      </c>
      <c r="D60" s="9"/>
      <c r="E60" s="9"/>
      <c r="F60" s="9"/>
      <c r="G60" s="9"/>
    </row>
    <row r="61" spans="1:7" customFormat="1" x14ac:dyDescent="0.25">
      <c r="A61" s="11" t="s">
        <v>37</v>
      </c>
      <c r="B61" s="11">
        <f t="shared" si="14"/>
        <v>0.16211036585092106</v>
      </c>
      <c r="C61" s="11">
        <v>4</v>
      </c>
      <c r="D61" s="9"/>
      <c r="E61" s="9"/>
      <c r="F61" s="9"/>
      <c r="G61" s="9"/>
    </row>
  </sheetData>
  <mergeCells count="15">
    <mergeCell ref="A2:H2"/>
    <mergeCell ref="A4:H4"/>
    <mergeCell ref="A21:C21"/>
    <mergeCell ref="A48:G48"/>
    <mergeCell ref="A23:H23"/>
    <mergeCell ref="A31:A32"/>
    <mergeCell ref="B31:G31"/>
    <mergeCell ref="A41:A42"/>
    <mergeCell ref="B41:G41"/>
    <mergeCell ref="A56:C56"/>
    <mergeCell ref="A40:G40"/>
    <mergeCell ref="A30:G30"/>
    <mergeCell ref="A25:G25"/>
    <mergeCell ref="A49:A50"/>
    <mergeCell ref="B49:G4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SWARA SMART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Feriantano S</dc:creator>
  <cp:lastModifiedBy>Feriantano S</cp:lastModifiedBy>
  <cp:lastPrinted>2022-11-06T00:08:15Z</cp:lastPrinted>
  <dcterms:created xsi:type="dcterms:W3CDTF">2022-10-30T09:18:11Z</dcterms:created>
  <dcterms:modified xsi:type="dcterms:W3CDTF">2022-11-06T00:08:48Z</dcterms:modified>
</cp:coreProperties>
</file>